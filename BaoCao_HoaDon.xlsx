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ongQuan_HoaDon" state="visible" r:id="rId4"/>
    <sheet sheetId="2" name="2S67GJ9BMKA8" state="visible" r:id="rId5"/>
    <sheet sheetId="3" name="2AMFGL3FJGBA" state="visible" r:id="rId6"/>
    <sheet sheetId="4" name="1N4BUU3J14SL" state="visible" r:id="rId7"/>
    <sheet sheetId="5" name="2PZ2VXM8G2CY" state="visible" r:id="rId8"/>
    <sheet sheetId="6" name="1QZ5XZVAAT2Y" state="visible" r:id="rId9"/>
  </sheets>
  <calcPr calcId="171027"/>
</workbook>
</file>

<file path=xl/sharedStrings.xml><?xml version="1.0" encoding="utf-8"?>
<sst xmlns="http://schemas.openxmlformats.org/spreadsheetml/2006/main" count="170" uniqueCount="95">
  <si>
    <t>BẢNG TỔNG HỢP HÓA ĐƠN ĐIỆN TỬ</t>
  </si>
  <si>
    <t>Ngày xuất báo cáo: 23:54:29 21/6/2026</t>
  </si>
  <si>
    <t>STT</t>
  </si>
  <si>
    <t>Số Hóa Đơn</t>
  </si>
  <si>
    <t>Ngày Lập</t>
  </si>
  <si>
    <t>Mã Tra Cứu</t>
  </si>
  <si>
    <t>Mã CQ Thuế (MCCQT)</t>
  </si>
  <si>
    <t>MST Người Mua</t>
  </si>
  <si>
    <t>Tên Người Mua</t>
  </si>
  <si>
    <t>Tiền Trước Thuế</t>
  </si>
  <si>
    <t>Tiền Thuế</t>
  </si>
  <si>
    <t>Tổng Cộng Thanh Toán</t>
  </si>
  <si>
    <t>Hình Thức TT</t>
  </si>
  <si>
    <t>Tiền Bằng Chữ</t>
  </si>
  <si>
    <t>Chi Tiết Hàng Hóa</t>
  </si>
  <si>
    <t>Tên Tệp XML</t>
  </si>
  <si>
    <t>00000020</t>
  </si>
  <si>
    <t>14/5/2026</t>
  </si>
  <si>
    <t>2S67GJ9BMKA8</t>
  </si>
  <si>
    <t>00E417EF059C3E42E8B2E836D0C7C783BB</t>
  </si>
  <si>
    <t>311092451</t>
  </si>
  <si>
    <t>CÔNG TY CỔ PHẦN CÔNG NGHỆ THÔNG TIN VIỄN THÔNG THẠCH ANH</t>
  </si>
  <si>
    <t>Chuyển khoản</t>
  </si>
  <si>
    <t>Năm mươi ba triệu tám trăm tám mươi bảy nghìn sáu trăm tám mươi đồng</t>
  </si>
  <si>
    <t>Xem chi tiết</t>
  </si>
  <si>
    <t>00E417EF059C3E42E8B2E836D0C7C783BB.xml</t>
  </si>
  <si>
    <t>00000017</t>
  </si>
  <si>
    <t>4/5/2026</t>
  </si>
  <si>
    <t>2AMFGL3FJGBA</t>
  </si>
  <si>
    <t>00E1B1E258C21F411DA06D4EEDE7BCD91F</t>
  </si>
  <si>
    <t>107516076</t>
  </si>
  <si>
    <t>CÔNG TY TNHH ĐẦU TƯ THƯƠNG MẠI XÂY DỰNG ALPHA</t>
  </si>
  <si>
    <t>Ba mươi lăm triệu đồng</t>
  </si>
  <si>
    <t>00E1B1E258C21F411DA06D4EEDE7BCD91F.xml</t>
  </si>
  <si>
    <t>00000019</t>
  </si>
  <si>
    <t>13/5/2026</t>
  </si>
  <si>
    <t>1N4BUU3J14SL</t>
  </si>
  <si>
    <t>006A42519E90A3409CA327E07E41522FD7</t>
  </si>
  <si>
    <t>309730192</t>
  </si>
  <si>
    <t>CÔNG TY TNHH VF&amp;T</t>
  </si>
  <si>
    <t>Mười sáu triệu tám trăm bảy mươi chín nghìn ba trăm hai mươi đồng</t>
  </si>
  <si>
    <t>006A42519E90A3409CA327E07E41522FD7.xml</t>
  </si>
  <si>
    <t>00000016</t>
  </si>
  <si>
    <t>2PZ2VXM8G2CY</t>
  </si>
  <si>
    <t>0010F72B09831546ADA942550B58FD3D3A</t>
  </si>
  <si>
    <t>110243534</t>
  </si>
  <si>
    <t>CÔNG TY CỔ PHẦN LONG ĐẠO</t>
  </si>
  <si>
    <t>Một trăm tám mươi bảy triệu bốn trăm mười một nghìn hai trăm đồng</t>
  </si>
  <si>
    <t>0010F72B09831546ADA942550B58FD3D3A.xml</t>
  </si>
  <si>
    <t>00000018</t>
  </si>
  <si>
    <t>11/5/2026</t>
  </si>
  <si>
    <t>1QZ5XZVAAT2Y</t>
  </si>
  <si>
    <t>00D787EDA377FC48B68A43295F8477E1EA</t>
  </si>
  <si>
    <t>311101240</t>
  </si>
  <si>
    <t>CÔNG TY TNHH ĐIỆN TAM GIAO</t>
  </si>
  <si>
    <t>Năm mươi triệu bảy trăm bảy mươi bảy nghìn bốn trăm chín mươi sáu đồng</t>
  </si>
  <si>
    <t>00D787EDA377FC48B68A43295F8477E1EA.xml</t>
  </si>
  <si>
    <t>TỔNG CỘNG</t>
  </si>
  <si>
    <t>CHI TIẾT HÀNG HÓA DỊCH VỤ HÓA ĐƠN SỐ 00000020</t>
  </si>
  <si>
    <t>← Về trang tổng quan</t>
  </si>
  <si>
    <t>Người bán: CÔNG TY TNHH THƯƠNG MẠI DỊCH VỤ THIÊN BẢO TIẾN (MST: 313170881)</t>
  </si>
  <si>
    <t>Người mua: CÔNG TY CỔ PHẦN CÔNG NGHỆ THÔNG TIN VIỄN THÔNG THẠCH ANH (MST: 311092451)</t>
  </si>
  <si>
    <t>Tên Hàng Hóa, Dịch Vụ</t>
  </si>
  <si>
    <t>Đơn Vị Tính</t>
  </si>
  <si>
    <t>Số Lượng</t>
  </si>
  <si>
    <t>Đơn Giá</t>
  </si>
  <si>
    <t>Thành Tiền (Chưa Thuế)</t>
  </si>
  <si>
    <t>Thuế Suất</t>
  </si>
  <si>
    <t>5WG1141-1AB32: Bộ giao tiếp điều khiển chiếu sáng giữa chuẩn Dali-KNX, 2x64DALI, hãng Siemens</t>
  </si>
  <si>
    <t>Cái</t>
  </si>
  <si>
    <t>8%</t>
  </si>
  <si>
    <t>TỔNG CỘNG CHI TIẾT THÀNH TIỀN</t>
  </si>
  <si>
    <t>CHI TIẾT HÀNG HÓA DỊCH VỤ HÓA ĐƠN SỐ 00000017</t>
  </si>
  <si>
    <t>Người mua: CÔNG TY TNHH ĐẦU TƯ THƯƠNG MẠI XÂY DỰNG ALPHA (MST: 107516076)</t>
  </si>
  <si>
    <t>Bộ giao tiếp điều khiển chiếu sáng giữa chuẩn Dali-KNX, 5WG1141-1AB31\N141/31, 2x64DALI, hãng Siemens</t>
  </si>
  <si>
    <t>10%</t>
  </si>
  <si>
    <t>CHI TIẾT HÀNG HÓA DỊCH VỤ HÓA ĐƠN SỐ 00000019</t>
  </si>
  <si>
    <t>Người mua: CÔNG TY TNHH VF&amp;T (MST: 309730192)</t>
  </si>
  <si>
    <t>S55376-C107\DXR2.E18-101A: Bộ điều khiển phân tán sử dụng giám sát, điều khiển phân tán cho từng vùng, từng thiết bị riêng biệt của hệ thống cơ điện trong hệ thống điều khiển toà nhà KNX và kết nối với phần mềm, BACnet/Ethernet, hãng Siemens</t>
  </si>
  <si>
    <t>CHI TIẾT HÀNG HÓA DỊCH VỤ HÓA ĐƠN SỐ 00000016</t>
  </si>
  <si>
    <t>Người mua: CÔNG TY CỔ PHẦN LONG ĐẠO (MST: 110243534)</t>
  </si>
  <si>
    <t>Bộ nguồn chỉnh lưu-5WG1125-1AB22\N 125/22, 24V DC, 640mA,hãng Siemens</t>
  </si>
  <si>
    <t>5WG1148-1AB23: Bộ giao tiếp giữa thiết bị điều khiển và hệ thống KNX, hãng Siemens</t>
  </si>
  <si>
    <t>5WG1567-1AB22: Bảng điều khiển dãy đèn 16 kênh kết nối KNX, 16xAC230 V, 10A, hãng Siemens</t>
  </si>
  <si>
    <t>5WG1262-1EB11: Bộ điều khiển đầu vào đôi 16 điểm kết nối, hãng Siemens</t>
  </si>
  <si>
    <t>5WG1258-2DB51: Cảm biến hiện diện KNX loại ốp trần 360 độ, 30mA, DC 24V, hãng Siemens</t>
  </si>
  <si>
    <t/>
  </si>
  <si>
    <t>(Theo Hợp đồng số 05/HĐMB/2025/LĐ–TBTTECH ngày 05/12/2025)</t>
  </si>
  <si>
    <t>CHI TIẾT HÀNG HÓA DỊCH VỤ HÓA ĐƠN SỐ 00000018</t>
  </si>
  <si>
    <t>Người mua: CÔNG TY TNHH ĐIỆN TAM GIAO (MST: 311101240)</t>
  </si>
  <si>
    <t>ELC.E14:Bộ điều khiển phân tán sử dụng giám sát và điều khiển phân tán cho từng vùng, từng thiết bị riêng biệt của hệ thống cơ điện trong hệ thống điều khiển toà nhà KNX, Modbus/IP, AC/DC24V, dùng phần mềm lập trình, hãng Siemens</t>
  </si>
  <si>
    <t>Màn hình 6AV2123-2GB03-0AX0</t>
  </si>
  <si>
    <t>EM1.8R: Mô-đun mở rộng ngõ ra dùng cho bộ điều khiển phân tán của hệ thống điều khiển toà nhà thông minh, AC/DC 24 V, hãng Siemens</t>
  </si>
  <si>
    <t>QFA2260: Cảm biến đo độ ẩm, nhiệt độ phòng, hoạt động bằng điện, AC 24 V / DC 13.5...35 V, hãng Siemens</t>
  </si>
  <si>
    <t>S55720-S515\QAA9020: Cảm biến đo nhiệt độ phòng, hoạt động bằng điện, 0- 10V, hãng Siemens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</si>
</sst>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4E78"/>
      <sz val="16"/>
      <name val="Segoe UI"/>
    </font>
    <font>
      <i/>
      <sz val="9"/>
      <name val="Segoe UI"/>
    </font>
    <font>
      <b/>
      <color rgb="FFFFFFFF"/>
      <sz val="10"/>
      <name val="Segoe UI"/>
    </font>
    <font>
      <sz val="10"/>
      <name val="Segoe UI"/>
    </font>
    <font>
      <u/>
      <color rgb="FF0563C1"/>
      <sz val="10"/>
      <name val="Segoe UI"/>
    </font>
    <font>
      <b/>
      <color rgb="FF1F4E78"/>
      <sz val="10"/>
      <name val="Segoe UI"/>
    </font>
  </fonts>
  <fills count="5">
    <fill>
      <patternFill patternType="none"/>
    </fill>
    <fill>
      <patternFill patternType="gray125"/>
    </fill>
    <fill>
      <patternFill patternType="solid">
        <fgColor rgb="FF1F4E78"/>
      </patternFill>
    </fill>
    <fill>
      <patternFill patternType="solid">
        <fgColor rgb="FFF9FBFD"/>
      </patternFill>
    </fill>
    <fill>
      <patternFill patternType="solid">
        <fgColor rgb="FFEAF2F8"/>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1F4E78"/>
      </top>
      <bottom style="double">
        <color rgb="FF1F4E78"/>
      </bottom>
      <diagonal/>
    </border>
  </borders>
  <cellStyleXfs count="1">
    <xf numFmtId="0" fontId="0" fillId="0" borderId="0"/>
  </cellStyleXfs>
  <cellXfs count="19">
    <xf numFmtId="0" fontId="0" fillId="0" borderId="0" xfId="0"/>
    <xf numFmtId="0" fontId="1" fillId="0" borderId="0" xfId="0" applyFont="1" applyAlignment="1">
      <alignment horizontal="center" vertical="center"/>
    </xf>
    <xf numFmtId="0" fontId="2" fillId="0" borderId="0" xfId="0" applyFont="1"/>
    <xf numFmtId="0" fontId="3" fillId="2" borderId="1" xfId="0" applyFont="1" applyFill="1" applyBorder="1" applyAlignment="1">
      <alignment horizontal="center" vertical="center" wrapText="1"/>
    </xf>
    <xf numFmtId="0" fontId="4" fillId="3" borderId="1" xfId="0" applyFont="1" applyFill="1" applyBorder="1" applyAlignment="1">
      <alignment horizontal="center" vertical="center"/>
    </xf>
    <xf numFmtId="0" fontId="4" fillId="3" borderId="1" xfId="0" applyFont="1" applyFill="1" applyBorder="1" applyAlignment="1">
      <alignment horizontal="left" vertical="center" wrapText="1"/>
    </xf>
    <xf numFmtId="3" fontId="4" fillId="3" borderId="1" xfId="0" applyNumberFormat="1" applyFont="1" applyFill="1" applyBorder="1" applyAlignment="1">
      <alignment horizontal="right" vertical="center"/>
    </xf>
    <xf numFmtId="0" fontId="5" fillId="3" borderId="1" xfId="0" applyFont="1" applyFill="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left" vertical="center" wrapText="1"/>
    </xf>
    <xf numFmtId="3" fontId="4" fillId="0" borderId="1" xfId="0" applyNumberFormat="1" applyFont="1" applyBorder="1" applyAlignment="1">
      <alignment horizontal="right" vertical="center"/>
    </xf>
    <xf numFmtId="0" fontId="5" fillId="0" borderId="1" xfId="0" applyFont="1" applyBorder="1" applyAlignment="1">
      <alignment horizontal="center" vertical="center"/>
    </xf>
    <xf numFmtId="0" fontId="6" fillId="4" borderId="2" xfId="0" applyFont="1" applyFill="1" applyBorder="1" applyAlignment="1">
      <alignment horizontal="right" vertical="center"/>
    </xf>
    <xf numFmtId="3" fontId="6" fillId="4" borderId="2" xfId="0" applyNumberFormat="1" applyFont="1" applyFill="1" applyBorder="1" applyAlignment="1">
      <alignment horizontal="right" vertical="center"/>
    </xf>
    <xf numFmtId="0" fontId="0" fillId="4" borderId="2" xfId="0" applyFill="1" applyBorder="1"/>
    <xf numFmtId="0" fontId="5" fillId="0" borderId="0" xfId="0" applyFont="1"/>
    <xf numFmtId="0" fontId="4" fillId="0" borderId="0" xfId="0" applyFont="1"/>
    <xf numFmtId="4" fontId="4" fillId="0" borderId="1" xfId="0" applyNumberFormat="1" applyFont="1" applyBorder="1" applyAlignment="1">
      <alignment horizontal="right" vertical="center"/>
    </xf>
    <xf numFmtId="4" fontId="4" fillId="3" borderId="1" xfId="0" applyNumberFormat="1" applyFont="1" applyFill="1" applyBorder="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2S67GJ9BMKA8!A1" TargetMode="External"/><Relationship Id="rId2" Type="http://schemas.openxmlformats.org/officeDocument/2006/relationships/hyperlink" Target="#2AMFGL3FJGBA!A1" TargetMode="External"/><Relationship Id="rId3" Type="http://schemas.openxmlformats.org/officeDocument/2006/relationships/hyperlink" Target="#1N4BUU3J14SL!A1" TargetMode="External"/><Relationship Id="rId4" Type="http://schemas.openxmlformats.org/officeDocument/2006/relationships/hyperlink" Target="#2PZ2VXM8G2CY!A1" TargetMode="External"/><Relationship Id="rId5" Type="http://schemas.openxmlformats.org/officeDocument/2006/relationships/hyperlink" Target="#1QZ5XZVAAT2Y!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TongQuan_HoaDon!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TongQuan_HoaDon!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TongQuan_HoaDon!A1"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TongQuan_HoaDon!A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TongQuan_HoaDon!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
  <sheetViews>
    <sheetView workbookViewId="0"/>
  </sheetViews>
  <sheetFormatPr defaultRowHeight="15" outlineLevelRow="0" outlineLevelCol="0" x14ac:dyDescent="55"/>
  <cols>
    <col min="1" max="1" width="41" customWidth="1"/>
    <col min="2" max="4" width="33" customWidth="1"/>
    <col min="5" max="5" width="38" customWidth="1"/>
    <col min="6" max="6" width="33" customWidth="1"/>
    <col min="7" max="7" width="60" customWidth="1"/>
    <col min="8" max="11" width="33" customWidth="1"/>
    <col min="12" max="12" width="74" customWidth="1"/>
    <col min="13" max="13" width="33" customWidth="1"/>
    <col min="14" max="14" width="42" customWidth="1"/>
  </cols>
  <sheetData>
    <row r="1" ht="40" customHeight="1" spans="1:14" x14ac:dyDescent="0.25">
      <c r="A1" s="1" t="s">
        <v>0</v>
      </c>
      <c r="B1" s="1"/>
      <c r="C1" s="1"/>
      <c r="D1" s="1"/>
      <c r="E1" s="1"/>
      <c r="F1" s="1"/>
      <c r="G1" s="1"/>
      <c r="H1" s="1"/>
      <c r="I1" s="1"/>
      <c r="J1" s="1"/>
      <c r="K1" s="1"/>
      <c r="L1" s="1"/>
      <c r="M1" s="1"/>
      <c r="N1" s="1"/>
    </row>
    <row r="2" ht="20" customHeight="1" spans="1:14" x14ac:dyDescent="0.25">
      <c r="A2" s="2" t="s">
        <v>1</v>
      </c>
    </row>
    <row r="3" ht="28" customHeight="1" spans="1:14" x14ac:dyDescent="0.25">
      <c r="A3" s="3" t="s">
        <v>2</v>
      </c>
      <c r="B3" s="3" t="s">
        <v>3</v>
      </c>
      <c r="C3" s="3" t="s">
        <v>4</v>
      </c>
      <c r="D3" s="3" t="s">
        <v>5</v>
      </c>
      <c r="E3" s="3" t="s">
        <v>6</v>
      </c>
      <c r="F3" s="3" t="s">
        <v>7</v>
      </c>
      <c r="G3" s="3" t="s">
        <v>8</v>
      </c>
      <c r="H3" s="3" t="s">
        <v>9</v>
      </c>
      <c r="I3" s="3" t="s">
        <v>10</v>
      </c>
      <c r="J3" s="3" t="s">
        <v>11</v>
      </c>
      <c r="K3" s="3" t="s">
        <v>12</v>
      </c>
      <c r="L3" s="3" t="s">
        <v>13</v>
      </c>
      <c r="M3" s="3" t="s">
        <v>14</v>
      </c>
      <c r="N3" s="3" t="s">
        <v>15</v>
      </c>
    </row>
    <row r="4" ht="22" customHeight="1" spans="1:14" x14ac:dyDescent="0.25">
      <c r="A4" s="4">
        <v>1</v>
      </c>
      <c r="B4" s="4" t="s">
        <v>16</v>
      </c>
      <c r="C4" s="4" t="s">
        <v>17</v>
      </c>
      <c r="D4" s="4" t="s">
        <v>18</v>
      </c>
      <c r="E4" s="4" t="s">
        <v>19</v>
      </c>
      <c r="F4" s="4" t="s">
        <v>20</v>
      </c>
      <c r="G4" s="5" t="s">
        <v>21</v>
      </c>
      <c r="H4" s="6">
        <v>49896000</v>
      </c>
      <c r="I4" s="6">
        <v>3991680</v>
      </c>
      <c r="J4" s="6">
        <v>53887680</v>
      </c>
      <c r="K4" s="4" t="s">
        <v>22</v>
      </c>
      <c r="L4" s="5" t="s">
        <v>23</v>
      </c>
      <c r="M4" s="7" t="s">
        <v>24</v>
      </c>
      <c r="N4" s="5" t="s">
        <v>25</v>
      </c>
    </row>
    <row r="5" ht="22" customHeight="1" spans="1:14" x14ac:dyDescent="0.25">
      <c r="A5" s="8">
        <v>2</v>
      </c>
      <c r="B5" s="8" t="s">
        <v>26</v>
      </c>
      <c r="C5" s="8" t="s">
        <v>27</v>
      </c>
      <c r="D5" s="8" t="s">
        <v>28</v>
      </c>
      <c r="E5" s="8" t="s">
        <v>29</v>
      </c>
      <c r="F5" s="8" t="s">
        <v>30</v>
      </c>
      <c r="G5" s="9" t="s">
        <v>31</v>
      </c>
      <c r="H5" s="10">
        <v>31818182</v>
      </c>
      <c r="I5" s="10">
        <v>3181818</v>
      </c>
      <c r="J5" s="10">
        <v>35000000</v>
      </c>
      <c r="K5" s="8" t="s">
        <v>22</v>
      </c>
      <c r="L5" s="9" t="s">
        <v>32</v>
      </c>
      <c r="M5" s="11" t="s">
        <v>24</v>
      </c>
      <c r="N5" s="9" t="s">
        <v>33</v>
      </c>
    </row>
    <row r="6" ht="22" customHeight="1" spans="1:14" x14ac:dyDescent="0.25">
      <c r="A6" s="4">
        <v>3</v>
      </c>
      <c r="B6" s="4" t="s">
        <v>34</v>
      </c>
      <c r="C6" s="4" t="s">
        <v>35</v>
      </c>
      <c r="D6" s="4" t="s">
        <v>36</v>
      </c>
      <c r="E6" s="4" t="s">
        <v>37</v>
      </c>
      <c r="F6" s="4" t="s">
        <v>38</v>
      </c>
      <c r="G6" s="5" t="s">
        <v>39</v>
      </c>
      <c r="H6" s="6">
        <v>15629000</v>
      </c>
      <c r="I6" s="6">
        <v>1250320</v>
      </c>
      <c r="J6" s="6">
        <v>16879320</v>
      </c>
      <c r="K6" s="4" t="s">
        <v>22</v>
      </c>
      <c r="L6" s="5" t="s">
        <v>40</v>
      </c>
      <c r="M6" s="7" t="s">
        <v>24</v>
      </c>
      <c r="N6" s="5" t="s">
        <v>41</v>
      </c>
    </row>
    <row r="7" ht="22" customHeight="1" spans="1:14" x14ac:dyDescent="0.25">
      <c r="A7" s="8">
        <v>4</v>
      </c>
      <c r="B7" s="8" t="s">
        <v>42</v>
      </c>
      <c r="C7" s="8" t="s">
        <v>27</v>
      </c>
      <c r="D7" s="8" t="s">
        <v>43</v>
      </c>
      <c r="E7" s="8" t="s">
        <v>44</v>
      </c>
      <c r="F7" s="8" t="s">
        <v>45</v>
      </c>
      <c r="G7" s="9" t="s">
        <v>46</v>
      </c>
      <c r="H7" s="10">
        <v>173528889</v>
      </c>
      <c r="I7" s="10">
        <v>13882311</v>
      </c>
      <c r="J7" s="10">
        <v>187411200</v>
      </c>
      <c r="K7" s="8" t="s">
        <v>22</v>
      </c>
      <c r="L7" s="9" t="s">
        <v>47</v>
      </c>
      <c r="M7" s="11" t="s">
        <v>24</v>
      </c>
      <c r="N7" s="9" t="s">
        <v>48</v>
      </c>
    </row>
    <row r="8" ht="22" customHeight="1" spans="1:14" x14ac:dyDescent="0.25">
      <c r="A8" s="4">
        <v>5</v>
      </c>
      <c r="B8" s="4" t="s">
        <v>49</v>
      </c>
      <c r="C8" s="4" t="s">
        <v>50</v>
      </c>
      <c r="D8" s="4" t="s">
        <v>51</v>
      </c>
      <c r="E8" s="4" t="s">
        <v>52</v>
      </c>
      <c r="F8" s="4" t="s">
        <v>53</v>
      </c>
      <c r="G8" s="5" t="s">
        <v>54</v>
      </c>
      <c r="H8" s="6">
        <v>47016200</v>
      </c>
      <c r="I8" s="6">
        <v>3761296</v>
      </c>
      <c r="J8" s="6">
        <v>50777496</v>
      </c>
      <c r="K8" s="4" t="s">
        <v>22</v>
      </c>
      <c r="L8" s="5" t="s">
        <v>55</v>
      </c>
      <c r="M8" s="7" t="s">
        <v>24</v>
      </c>
      <c r="N8" s="5" t="s">
        <v>56</v>
      </c>
    </row>
    <row r="9" ht="24" customHeight="1" spans="1:14" x14ac:dyDescent="0.25">
      <c r="A9" s="12" t="s">
        <v>57</v>
      </c>
      <c r="B9" s="12"/>
      <c r="C9" s="12"/>
      <c r="D9" s="12"/>
      <c r="E9" s="12"/>
      <c r="F9" s="12"/>
      <c r="G9" s="12"/>
      <c r="H9" s="13">
        <f>=SUM(H4:H8)</f>
        <v>0</v>
      </c>
      <c r="I9" s="13">
        <f>=SUM(I4:I8)</f>
        <v>0</v>
      </c>
      <c r="J9" s="13">
        <f>=SUM(J4:J8)</f>
        <v>0</v>
      </c>
      <c r="K9" s="14"/>
      <c r="L9" s="14"/>
      <c r="M9" s="14"/>
      <c r="N9" s="14"/>
    </row>
  </sheetData>
  <mergeCells count="2">
    <mergeCell ref="A1:N1"/>
    <mergeCell ref="A9:G9"/>
  </mergeCells>
  <hyperlinks>
    <hyperlink ref="M4" r:id="rId1" location="#2S67GJ9BMKA8!A1"/>
    <hyperlink ref="M5" r:id="rId2" location="#2AMFGL3FJGBA!A1"/>
    <hyperlink ref="M6" r:id="rId3" location="#1N4BUU3J14SL!A1"/>
    <hyperlink ref="M7" r:id="rId4" location="#2PZ2VXM8G2CY!A1"/>
    <hyperlink ref="M8" r:id="rId5" location="#1QZ5XZVAAT2Y!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8"/>
  <sheetViews>
    <sheetView workbookViewId="0"/>
  </sheetViews>
  <sheetFormatPr defaultRowHeight="15" outlineLevelRow="0" outlineLevelCol="0" x14ac:dyDescent="55"/>
  <cols>
    <col min="1" max="1" width="88" customWidth="1"/>
    <col min="2" max="2" width="97" customWidth="1"/>
    <col min="3" max="7" width="49" customWidth="1"/>
  </cols>
  <sheetData>
    <row r="1" ht="35" customHeight="1" spans="1:7" x14ac:dyDescent="0.25">
      <c r="A1" s="1" t="s">
        <v>58</v>
      </c>
      <c r="B1" s="1"/>
      <c r="C1" s="1"/>
      <c r="D1" s="1"/>
      <c r="E1" s="1"/>
      <c r="F1" s="1"/>
      <c r="G1" s="1"/>
    </row>
    <row r="2" ht="20" customHeight="1" spans="1:7" x14ac:dyDescent="0.25">
      <c r="A2" s="15" t="s">
        <v>59</v>
      </c>
    </row>
    <row r="3" ht="18" customHeight="1" spans="1:7" x14ac:dyDescent="0.25">
      <c r="A3" s="16" t="s">
        <v>60</v>
      </c>
    </row>
    <row r="4" ht="18" customHeight="1" spans="1:7" x14ac:dyDescent="0.25">
      <c r="A4" s="16" t="s">
        <v>61</v>
      </c>
    </row>
    <row r="5" ht="10" customHeight="1" x14ac:dyDescent="0.25"/>
    <row r="6" ht="26" customHeight="1" spans="1:7" x14ac:dyDescent="0.25">
      <c r="A6" s="3" t="s">
        <v>2</v>
      </c>
      <c r="B6" s="3" t="s">
        <v>62</v>
      </c>
      <c r="C6" s="3" t="s">
        <v>63</v>
      </c>
      <c r="D6" s="3" t="s">
        <v>64</v>
      </c>
      <c r="E6" s="3" t="s">
        <v>65</v>
      </c>
      <c r="F6" s="3" t="s">
        <v>66</v>
      </c>
      <c r="G6" s="3" t="s">
        <v>67</v>
      </c>
    </row>
    <row r="7" ht="22" customHeight="1" spans="1:7" x14ac:dyDescent="0.25">
      <c r="A7" s="8">
        <v>1</v>
      </c>
      <c r="B7" s="9" t="s">
        <v>68</v>
      </c>
      <c r="C7" s="8" t="s">
        <v>69</v>
      </c>
      <c r="D7" s="17">
        <v>3</v>
      </c>
      <c r="E7" s="10">
        <v>16632000</v>
      </c>
      <c r="F7" s="10">
        <v>49896000</v>
      </c>
      <c r="G7" s="8" t="s">
        <v>70</v>
      </c>
    </row>
    <row r="8" ht="24" customHeight="1" spans="1:7" x14ac:dyDescent="0.25">
      <c r="A8" s="12" t="s">
        <v>71</v>
      </c>
      <c r="B8" s="12"/>
      <c r="C8" s="12"/>
      <c r="D8" s="12"/>
      <c r="E8" s="12"/>
      <c r="F8" s="13">
        <f>=SUM(F7:F7)</f>
        <v>0</v>
      </c>
      <c r="G8" s="14"/>
    </row>
  </sheetData>
  <mergeCells count="2">
    <mergeCell ref="A1:G1"/>
    <mergeCell ref="A8:E8"/>
  </mergeCells>
  <hyperlinks>
    <hyperlink ref="A2" r:id="rId1" location="#TongQuan_HoaDon!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8"/>
  <sheetViews>
    <sheetView workbookViewId="0"/>
  </sheetViews>
  <sheetFormatPr defaultRowHeight="15" outlineLevelRow="0" outlineLevelCol="0" x14ac:dyDescent="55"/>
  <cols>
    <col min="1" max="1" width="78" customWidth="1"/>
    <col min="2" max="2" width="105" customWidth="1"/>
    <col min="3" max="7" width="49" customWidth="1"/>
  </cols>
  <sheetData>
    <row r="1" ht="35" customHeight="1" spans="1:7" x14ac:dyDescent="0.25">
      <c r="A1" s="1" t="s">
        <v>72</v>
      </c>
      <c r="B1" s="1"/>
      <c r="C1" s="1"/>
      <c r="D1" s="1"/>
      <c r="E1" s="1"/>
      <c r="F1" s="1"/>
      <c r="G1" s="1"/>
    </row>
    <row r="2" ht="20" customHeight="1" spans="1:7" x14ac:dyDescent="0.25">
      <c r="A2" s="15" t="s">
        <v>59</v>
      </c>
    </row>
    <row r="3" ht="18" customHeight="1" spans="1:7" x14ac:dyDescent="0.25">
      <c r="A3" s="16" t="s">
        <v>60</v>
      </c>
    </row>
    <row r="4" ht="18" customHeight="1" spans="1:7" x14ac:dyDescent="0.25">
      <c r="A4" s="16" t="s">
        <v>73</v>
      </c>
    </row>
    <row r="5" ht="10" customHeight="1" x14ac:dyDescent="0.25"/>
    <row r="6" ht="26" customHeight="1" spans="1:7" x14ac:dyDescent="0.25">
      <c r="A6" s="3" t="s">
        <v>2</v>
      </c>
      <c r="B6" s="3" t="s">
        <v>62</v>
      </c>
      <c r="C6" s="3" t="s">
        <v>63</v>
      </c>
      <c r="D6" s="3" t="s">
        <v>64</v>
      </c>
      <c r="E6" s="3" t="s">
        <v>65</v>
      </c>
      <c r="F6" s="3" t="s">
        <v>66</v>
      </c>
      <c r="G6" s="3" t="s">
        <v>67</v>
      </c>
    </row>
    <row r="7" ht="22" customHeight="1" spans="1:7" x14ac:dyDescent="0.25">
      <c r="A7" s="8">
        <v>1</v>
      </c>
      <c r="B7" s="9" t="s">
        <v>74</v>
      </c>
      <c r="C7" s="8" t="s">
        <v>69</v>
      </c>
      <c r="D7" s="17">
        <v>2</v>
      </c>
      <c r="E7" s="10">
        <v>15909091</v>
      </c>
      <c r="F7" s="10">
        <v>31818182</v>
      </c>
      <c r="G7" s="8" t="s">
        <v>75</v>
      </c>
    </row>
    <row r="8" ht="24" customHeight="1" spans="1:7" x14ac:dyDescent="0.25">
      <c r="A8" s="12" t="s">
        <v>71</v>
      </c>
      <c r="B8" s="12"/>
      <c r="C8" s="12"/>
      <c r="D8" s="12"/>
      <c r="E8" s="12"/>
      <c r="F8" s="13">
        <f>=SUM(F7:F7)</f>
        <v>0</v>
      </c>
      <c r="G8" s="14"/>
    </row>
  </sheetData>
  <mergeCells count="2">
    <mergeCell ref="A1:G1"/>
    <mergeCell ref="A8:E8"/>
  </mergeCells>
  <hyperlinks>
    <hyperlink ref="A2" r:id="rId1" location="#TongQuan_HoaDon!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8"/>
  <sheetViews>
    <sheetView workbookViewId="0"/>
  </sheetViews>
  <sheetFormatPr defaultRowHeight="15" outlineLevelRow="0" outlineLevelCol="0" x14ac:dyDescent="55"/>
  <cols>
    <col min="1" max="1" width="78" customWidth="1"/>
    <col min="2" max="2" width="245" customWidth="1"/>
    <col min="3" max="7" width="49" customWidth="1"/>
  </cols>
  <sheetData>
    <row r="1" ht="35" customHeight="1" spans="1:7" x14ac:dyDescent="0.25">
      <c r="A1" s="1" t="s">
        <v>76</v>
      </c>
      <c r="B1" s="1"/>
      <c r="C1" s="1"/>
      <c r="D1" s="1"/>
      <c r="E1" s="1"/>
      <c r="F1" s="1"/>
      <c r="G1" s="1"/>
    </row>
    <row r="2" ht="20" customHeight="1" spans="1:7" x14ac:dyDescent="0.25">
      <c r="A2" s="15" t="s">
        <v>59</v>
      </c>
    </row>
    <row r="3" ht="18" customHeight="1" spans="1:7" x14ac:dyDescent="0.25">
      <c r="A3" s="16" t="s">
        <v>60</v>
      </c>
    </row>
    <row r="4" ht="18" customHeight="1" spans="1:7" x14ac:dyDescent="0.25">
      <c r="A4" s="16" t="s">
        <v>77</v>
      </c>
    </row>
    <row r="5" ht="10" customHeight="1" x14ac:dyDescent="0.25"/>
    <row r="6" ht="26" customHeight="1" spans="1:7" x14ac:dyDescent="0.25">
      <c r="A6" s="3" t="s">
        <v>2</v>
      </c>
      <c r="B6" s="3" t="s">
        <v>62</v>
      </c>
      <c r="C6" s="3" t="s">
        <v>63</v>
      </c>
      <c r="D6" s="3" t="s">
        <v>64</v>
      </c>
      <c r="E6" s="3" t="s">
        <v>65</v>
      </c>
      <c r="F6" s="3" t="s">
        <v>66</v>
      </c>
      <c r="G6" s="3" t="s">
        <v>67</v>
      </c>
    </row>
    <row r="7" ht="22" customHeight="1" spans="1:7" x14ac:dyDescent="0.25">
      <c r="A7" s="8">
        <v>1</v>
      </c>
      <c r="B7" s="9" t="s">
        <v>78</v>
      </c>
      <c r="C7" s="8" t="s">
        <v>69</v>
      </c>
      <c r="D7" s="17">
        <v>2</v>
      </c>
      <c r="E7" s="10">
        <v>7814500</v>
      </c>
      <c r="F7" s="10">
        <v>15629000</v>
      </c>
      <c r="G7" s="8" t="s">
        <v>70</v>
      </c>
    </row>
    <row r="8" ht="24" customHeight="1" spans="1:7" x14ac:dyDescent="0.25">
      <c r="A8" s="12" t="s">
        <v>71</v>
      </c>
      <c r="B8" s="12"/>
      <c r="C8" s="12"/>
      <c r="D8" s="12"/>
      <c r="E8" s="12"/>
      <c r="F8" s="13">
        <f>=SUM(F7:F7)</f>
        <v>0</v>
      </c>
      <c r="G8" s="14"/>
    </row>
  </sheetData>
  <mergeCells count="2">
    <mergeCell ref="A1:G1"/>
    <mergeCell ref="A8:E8"/>
  </mergeCells>
  <hyperlinks>
    <hyperlink ref="A2" r:id="rId1" location="#TongQuan_HoaDon!A1"/>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3"/>
  <sheetViews>
    <sheetView workbookViewId="0"/>
  </sheetViews>
  <sheetFormatPr defaultRowHeight="15" outlineLevelRow="0" outlineLevelCol="0" x14ac:dyDescent="55"/>
  <cols>
    <col min="1" max="1" width="78" customWidth="1"/>
    <col min="2" max="2" width="93" customWidth="1"/>
    <col min="3" max="7" width="49" customWidth="1"/>
  </cols>
  <sheetData>
    <row r="1" ht="35" customHeight="1" spans="1:7" x14ac:dyDescent="0.25">
      <c r="A1" s="1" t="s">
        <v>79</v>
      </c>
      <c r="B1" s="1"/>
      <c r="C1" s="1"/>
      <c r="D1" s="1"/>
      <c r="E1" s="1"/>
      <c r="F1" s="1"/>
      <c r="G1" s="1"/>
    </row>
    <row r="2" ht="20" customHeight="1" spans="1:7" x14ac:dyDescent="0.25">
      <c r="A2" s="15" t="s">
        <v>59</v>
      </c>
    </row>
    <row r="3" ht="18" customHeight="1" spans="1:7" x14ac:dyDescent="0.25">
      <c r="A3" s="16" t="s">
        <v>60</v>
      </c>
    </row>
    <row r="4" ht="18" customHeight="1" spans="1:7" x14ac:dyDescent="0.25">
      <c r="A4" s="16" t="s">
        <v>80</v>
      </c>
    </row>
    <row r="5" ht="10" customHeight="1" x14ac:dyDescent="0.25"/>
    <row r="6" ht="26" customHeight="1" spans="1:7" x14ac:dyDescent="0.25">
      <c r="A6" s="3" t="s">
        <v>2</v>
      </c>
      <c r="B6" s="3" t="s">
        <v>62</v>
      </c>
      <c r="C6" s="3" t="s">
        <v>63</v>
      </c>
      <c r="D6" s="3" t="s">
        <v>64</v>
      </c>
      <c r="E6" s="3" t="s">
        <v>65</v>
      </c>
      <c r="F6" s="3" t="s">
        <v>66</v>
      </c>
      <c r="G6" s="3" t="s">
        <v>67</v>
      </c>
    </row>
    <row r="7" ht="22" customHeight="1" spans="1:7" x14ac:dyDescent="0.25">
      <c r="A7" s="8">
        <v>1</v>
      </c>
      <c r="B7" s="9" t="s">
        <v>81</v>
      </c>
      <c r="C7" s="8" t="s">
        <v>69</v>
      </c>
      <c r="D7" s="17">
        <v>1</v>
      </c>
      <c r="E7" s="10">
        <v>8119500</v>
      </c>
      <c r="F7" s="10">
        <v>8119500</v>
      </c>
      <c r="G7" s="8" t="s">
        <v>70</v>
      </c>
    </row>
    <row r="8" ht="22" customHeight="1" spans="1:7" x14ac:dyDescent="0.25">
      <c r="A8" s="4">
        <v>2</v>
      </c>
      <c r="B8" s="5" t="s">
        <v>82</v>
      </c>
      <c r="C8" s="4" t="s">
        <v>69</v>
      </c>
      <c r="D8" s="18">
        <v>1</v>
      </c>
      <c r="E8" s="6">
        <v>6424346</v>
      </c>
      <c r="F8" s="6">
        <v>6424346</v>
      </c>
      <c r="G8" s="4" t="s">
        <v>70</v>
      </c>
    </row>
    <row r="9" ht="22" customHeight="1" spans="1:7" x14ac:dyDescent="0.25">
      <c r="A9" s="8">
        <v>3</v>
      </c>
      <c r="B9" s="9" t="s">
        <v>83</v>
      </c>
      <c r="C9" s="8" t="s">
        <v>69</v>
      </c>
      <c r="D9" s="17">
        <v>12</v>
      </c>
      <c r="E9" s="10">
        <v>10176683</v>
      </c>
      <c r="F9" s="10">
        <v>122120196</v>
      </c>
      <c r="G9" s="8" t="s">
        <v>70</v>
      </c>
    </row>
    <row r="10" ht="22" customHeight="1" spans="1:7" x14ac:dyDescent="0.25">
      <c r="A10" s="4">
        <v>4</v>
      </c>
      <c r="B10" s="5" t="s">
        <v>84</v>
      </c>
      <c r="C10" s="4" t="s">
        <v>69</v>
      </c>
      <c r="D10" s="18">
        <v>3</v>
      </c>
      <c r="E10" s="6">
        <v>8579959</v>
      </c>
      <c r="F10" s="6">
        <v>25739877</v>
      </c>
      <c r="G10" s="4" t="s">
        <v>70</v>
      </c>
    </row>
    <row r="11" ht="22" customHeight="1" spans="1:7" x14ac:dyDescent="0.25">
      <c r="A11" s="8">
        <v>5</v>
      </c>
      <c r="B11" s="9" t="s">
        <v>85</v>
      </c>
      <c r="C11" s="8" t="s">
        <v>69</v>
      </c>
      <c r="D11" s="17">
        <v>1</v>
      </c>
      <c r="E11" s="10">
        <v>11124970</v>
      </c>
      <c r="F11" s="10">
        <v>11124970</v>
      </c>
      <c r="G11" s="8" t="s">
        <v>70</v>
      </c>
    </row>
    <row r="12" ht="22" customHeight="1" spans="1:7" x14ac:dyDescent="0.25">
      <c r="A12" s="4" t="s">
        <v>86</v>
      </c>
      <c r="B12" s="5" t="s">
        <v>87</v>
      </c>
      <c r="C12" s="4" t="s">
        <v>86</v>
      </c>
      <c r="D12" s="18"/>
      <c r="E12" s="6"/>
      <c r="F12" s="6">
        <v>0</v>
      </c>
      <c r="G12" s="4" t="s">
        <v>86</v>
      </c>
    </row>
    <row r="13" ht="24" customHeight="1" spans="1:7" x14ac:dyDescent="0.25">
      <c r="A13" s="12" t="s">
        <v>71</v>
      </c>
      <c r="B13" s="12"/>
      <c r="C13" s="12"/>
      <c r="D13" s="12"/>
      <c r="E13" s="12"/>
      <c r="F13" s="13">
        <f>=SUM(F7:F12)</f>
        <v>0</v>
      </c>
      <c r="G13" s="14"/>
    </row>
  </sheetData>
  <mergeCells count="2">
    <mergeCell ref="A1:G1"/>
    <mergeCell ref="A13:E13"/>
  </mergeCells>
  <hyperlinks>
    <hyperlink ref="A2" r:id="rId1" location="#TongQuan_HoaDon!A1"/>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2"/>
  <sheetViews>
    <sheetView workbookViewId="0"/>
  </sheetViews>
  <sheetFormatPr defaultRowHeight="15" outlineLevelRow="0" outlineLevelCol="0" x14ac:dyDescent="55"/>
  <cols>
    <col min="1" max="1" width="78" customWidth="1"/>
    <col min="2" max="2" width="233" customWidth="1"/>
    <col min="3" max="7" width="49" customWidth="1"/>
  </cols>
  <sheetData>
    <row r="1" ht="35" customHeight="1" spans="1:7" x14ac:dyDescent="0.25">
      <c r="A1" s="1" t="s">
        <v>88</v>
      </c>
      <c r="B1" s="1"/>
      <c r="C1" s="1"/>
      <c r="D1" s="1"/>
      <c r="E1" s="1"/>
      <c r="F1" s="1"/>
      <c r="G1" s="1"/>
    </row>
    <row r="2" ht="20" customHeight="1" spans="1:7" x14ac:dyDescent="0.25">
      <c r="A2" s="15" t="s">
        <v>59</v>
      </c>
    </row>
    <row r="3" ht="18" customHeight="1" spans="1:7" x14ac:dyDescent="0.25">
      <c r="A3" s="16" t="s">
        <v>60</v>
      </c>
    </row>
    <row r="4" ht="18" customHeight="1" spans="1:7" x14ac:dyDescent="0.25">
      <c r="A4" s="16" t="s">
        <v>89</v>
      </c>
    </row>
    <row r="5" ht="10" customHeight="1" x14ac:dyDescent="0.25"/>
    <row r="6" ht="26" customHeight="1" spans="1:7" x14ac:dyDescent="0.25">
      <c r="A6" s="3" t="s">
        <v>2</v>
      </c>
      <c r="B6" s="3" t="s">
        <v>62</v>
      </c>
      <c r="C6" s="3" t="s">
        <v>63</v>
      </c>
      <c r="D6" s="3" t="s">
        <v>64</v>
      </c>
      <c r="E6" s="3" t="s">
        <v>65</v>
      </c>
      <c r="F6" s="3" t="s">
        <v>66</v>
      </c>
      <c r="G6" s="3" t="s">
        <v>67</v>
      </c>
    </row>
    <row r="7" ht="22" customHeight="1" spans="1:7" x14ac:dyDescent="0.25">
      <c r="A7" s="8">
        <v>1</v>
      </c>
      <c r="B7" s="9" t="s">
        <v>90</v>
      </c>
      <c r="C7" s="8" t="s">
        <v>69</v>
      </c>
      <c r="D7" s="17">
        <v>1</v>
      </c>
      <c r="E7" s="10">
        <v>10415400</v>
      </c>
      <c r="F7" s="10">
        <v>10415400</v>
      </c>
      <c r="G7" s="8" t="s">
        <v>70</v>
      </c>
    </row>
    <row r="8" ht="22" customHeight="1" spans="1:7" x14ac:dyDescent="0.25">
      <c r="A8" s="4">
        <v>2</v>
      </c>
      <c r="B8" s="5" t="s">
        <v>91</v>
      </c>
      <c r="C8" s="4" t="s">
        <v>69</v>
      </c>
      <c r="D8" s="18">
        <v>1</v>
      </c>
      <c r="E8" s="6">
        <v>12000000</v>
      </c>
      <c r="F8" s="6">
        <v>12000000</v>
      </c>
      <c r="G8" s="4" t="s">
        <v>70</v>
      </c>
    </row>
    <row r="9" ht="22" customHeight="1" spans="1:7" x14ac:dyDescent="0.25">
      <c r="A9" s="8">
        <v>3</v>
      </c>
      <c r="B9" s="9" t="s">
        <v>92</v>
      </c>
      <c r="C9" s="8" t="s">
        <v>69</v>
      </c>
      <c r="D9" s="17">
        <v>1</v>
      </c>
      <c r="E9" s="10">
        <v>3877600</v>
      </c>
      <c r="F9" s="10">
        <v>3877600</v>
      </c>
      <c r="G9" s="8" t="s">
        <v>70</v>
      </c>
    </row>
    <row r="10" ht="22" customHeight="1" spans="1:7" x14ac:dyDescent="0.25">
      <c r="A10" s="4">
        <v>4</v>
      </c>
      <c r="B10" s="5" t="s">
        <v>93</v>
      </c>
      <c r="C10" s="4" t="s">
        <v>69</v>
      </c>
      <c r="D10" s="18">
        <v>2</v>
      </c>
      <c r="E10" s="6">
        <v>5995600</v>
      </c>
      <c r="F10" s="6">
        <v>11991200</v>
      </c>
      <c r="G10" s="4" t="s">
        <v>70</v>
      </c>
    </row>
    <row r="11" ht="22" customHeight="1" spans="1:7" x14ac:dyDescent="0.25">
      <c r="A11" s="8">
        <v>5</v>
      </c>
      <c r="B11" s="9" t="s">
        <v>94</v>
      </c>
      <c r="C11" s="8" t="s">
        <v>69</v>
      </c>
      <c r="D11" s="17">
        <v>2</v>
      </c>
      <c r="E11" s="10">
        <v>4366000</v>
      </c>
      <c r="F11" s="10">
        <v>8732000</v>
      </c>
      <c r="G11" s="8" t="s">
        <v>70</v>
      </c>
    </row>
    <row r="12" ht="24" customHeight="1" spans="1:7" x14ac:dyDescent="0.25">
      <c r="A12" s="12" t="s">
        <v>71</v>
      </c>
      <c r="B12" s="12"/>
      <c r="C12" s="12"/>
      <c r="D12" s="12"/>
      <c r="E12" s="12"/>
      <c r="F12" s="13">
        <f>=SUM(F7:F11)</f>
        <v>0</v>
      </c>
      <c r="G12" s="14"/>
    </row>
  </sheetData>
  <mergeCells count="2">
    <mergeCell ref="A1:G1"/>
    <mergeCell ref="A12:E12"/>
  </mergeCells>
  <hyperlinks>
    <hyperlink ref="A2" r:id="rId1" location="#TongQuan_HoaDon!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TongQuan_HoaDon</vt:lpstr>
      <vt:lpstr>2S67GJ9BMKA8</vt:lpstr>
      <vt:lpstr>2AMFGL3FJGBA</vt:lpstr>
      <vt:lpstr>1N4BUU3J14SL</vt:lpstr>
      <vt:lpstr>2PZ2VXM8G2CY</vt:lpstr>
      <vt:lpstr>1QZ5XZVAAT2Y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2026-06-21T16:54:29Z</dcterms:created>
  <dcterms:modified xsi:type="dcterms:W3CDTF">2026-06-21T16:54:29Z</dcterms:modified>
</cp:coreProperties>
</file>